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y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1B16"/>
      <sz val="16"/>
    </font>
    <font>
      <i val="1"/>
      <color rgb="006B6558"/>
      <sz val="10"/>
    </font>
    <font>
      <b val="1"/>
      <color rgb="00FAF9F5"/>
      <sz val="11"/>
    </font>
    <font>
      <b val="1"/>
      <color rgb="001F1B16"/>
      <sz val="12"/>
    </font>
    <font>
      <b val="1"/>
      <color rgb="001F1B16"/>
      <sz val="11"/>
    </font>
    <font>
      <b val="1"/>
      <color rgb="00C96442"/>
      <sz val="11"/>
    </font>
  </fonts>
  <fills count="4">
    <fill>
      <patternFill/>
    </fill>
    <fill>
      <patternFill patternType="gray125"/>
    </fill>
    <fill>
      <patternFill patternType="solid">
        <fgColor rgb="00C96442"/>
      </patternFill>
    </fill>
    <fill>
      <patternFill patternType="solid">
        <fgColor rgb="00FAF9F5"/>
      </patternFill>
    </fill>
  </fills>
  <borders count="2">
    <border>
      <left/>
      <right/>
      <top/>
      <bottom/>
      <diagonal/>
    </border>
    <border>
      <left style="thin">
        <color rgb="00E5E2D9"/>
      </left>
      <right style="thin">
        <color rgb="00E5E2D9"/>
      </right>
      <top style="thin">
        <color rgb="00E5E2D9"/>
      </top>
      <bottom style="thin">
        <color rgb="00E5E2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4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8" customWidth="1" min="4" max="4"/>
    <col width="9" customWidth="1" min="5" max="5"/>
    <col width="12" customWidth="1" min="6" max="6"/>
    <col width="13" customWidth="1" min="7" max="7"/>
    <col width="11" customWidth="1" min="8" max="8"/>
    <col width="13" customWidth="1" min="9" max="9"/>
    <col width="14" customWidth="1" min="10" max="10"/>
    <col width="14" customWidth="1" min="11" max="11"/>
    <col width="16" customWidth="1" min="12" max="12"/>
    <col width="12" customWidth="1" min="13" max="13"/>
    <col width="26" customWidth="1" min="14" max="14"/>
  </cols>
  <sheetData>
    <row r="1" ht="26" customHeight="1">
      <c r="A1" s="1" t="inlineStr">
        <is>
          <t>SALES DAY BOOK</t>
        </is>
      </c>
    </row>
    <row r="2">
      <c r="A2" s="2" t="inlineStr">
        <is>
          <t>Period: 01 Jul 2026 – 05 Jul 2026  |  Currency: LKR (Rs.)</t>
        </is>
      </c>
    </row>
    <row r="3" ht="6" customHeight="1"/>
    <row r="4" ht="30" customHeight="1">
      <c r="A4" s="3" t="inlineStr">
        <is>
          <t>Date</t>
        </is>
      </c>
      <c r="B4" s="3" t="inlineStr">
        <is>
          <t>Invoice/Bill Number</t>
        </is>
      </c>
      <c r="C4" s="3" t="inlineStr">
        <is>
          <t>Customer Name</t>
        </is>
      </c>
      <c r="D4" s="3" t="inlineStr">
        <is>
          <t>Product/Service Description</t>
        </is>
      </c>
      <c r="E4" s="3" t="inlineStr">
        <is>
          <t>Quantity</t>
        </is>
      </c>
      <c r="F4" s="3" t="inlineStr">
        <is>
          <t>Unit Price</t>
        </is>
      </c>
      <c r="G4" s="3" t="inlineStr">
        <is>
          <t>Gross Amount</t>
        </is>
      </c>
      <c r="H4" s="3" t="inlineStr">
        <is>
          <t>Discount</t>
        </is>
      </c>
      <c r="I4" s="3" t="inlineStr">
        <is>
          <t>Net Amount</t>
        </is>
      </c>
      <c r="J4" s="3" t="inlineStr">
        <is>
          <t>Deposit To</t>
        </is>
      </c>
      <c r="K4" s="3" t="inlineStr">
        <is>
          <t>Amount Received</t>
        </is>
      </c>
      <c r="L4" s="3" t="inlineStr">
        <is>
          <t>Outstanding Balance</t>
        </is>
      </c>
      <c r="M4" s="3" t="inlineStr">
        <is>
          <t>Salesperson</t>
        </is>
      </c>
      <c r="N4" s="3" t="inlineStr">
        <is>
          <t>Remarks</t>
        </is>
      </c>
    </row>
    <row r="5">
      <c r="A5" s="4" t="inlineStr">
        <is>
          <t>2026-07-01</t>
        </is>
      </c>
      <c r="B5" s="4" t="inlineStr">
        <is>
          <t>INV-1001</t>
        </is>
      </c>
      <c r="C5" s="4" t="inlineStr">
        <is>
          <t>Kasun Perera</t>
        </is>
      </c>
      <c r="D5" s="4" t="inlineStr">
        <is>
          <t>iPhone 13 128GB</t>
        </is>
      </c>
      <c r="E5" s="5" t="n">
        <v>1</v>
      </c>
      <c r="F5" s="6" t="n">
        <v>185000</v>
      </c>
      <c r="G5" s="6">
        <f>E5*F5</f>
        <v/>
      </c>
      <c r="H5" s="6" t="n">
        <v>5000</v>
      </c>
      <c r="I5" s="6">
        <f>G5-H5</f>
        <v/>
      </c>
      <c r="J5" s="4" t="inlineStr">
        <is>
          <t>Cash Drawer</t>
        </is>
      </c>
      <c r="K5" s="6" t="n">
        <v>180000</v>
      </c>
      <c r="L5" s="6">
        <f>I5-K5</f>
        <v/>
      </c>
      <c r="M5" s="4" t="inlineStr">
        <is>
          <t>Nimali</t>
        </is>
      </c>
      <c r="N5" s="4" t="inlineStr">
        <is>
          <t>Paid in full</t>
        </is>
      </c>
    </row>
    <row r="6">
      <c r="A6" s="7" t="inlineStr">
        <is>
          <t>2026-07-01</t>
        </is>
      </c>
      <c r="B6" s="7" t="inlineStr">
        <is>
          <t>INV-1002</t>
        </is>
      </c>
      <c r="C6" s="7" t="inlineStr">
        <is>
          <t>Ruwan Silva</t>
        </is>
      </c>
      <c r="D6" s="7" t="inlineStr">
        <is>
          <t>Samsung Galaxy A54</t>
        </is>
      </c>
      <c r="E6" s="8" t="n">
        <v>2</v>
      </c>
      <c r="F6" s="9" t="n">
        <v>95000</v>
      </c>
      <c r="G6" s="9">
        <f>E6*F6</f>
        <v/>
      </c>
      <c r="H6" s="9" t="n">
        <v>0</v>
      </c>
      <c r="I6" s="9">
        <f>G6-H6</f>
        <v/>
      </c>
      <c r="J6" s="7" t="inlineStr">
        <is>
          <t>HNB Current</t>
        </is>
      </c>
      <c r="K6" s="9" t="n">
        <v>190000</v>
      </c>
      <c r="L6" s="9">
        <f>I6-K6</f>
        <v/>
      </c>
      <c r="M6" s="7" t="inlineStr">
        <is>
          <t>Nimali</t>
        </is>
      </c>
      <c r="N6" s="7" t="inlineStr"/>
    </row>
    <row r="7">
      <c r="A7" s="4" t="inlineStr">
        <is>
          <t>2026-07-02</t>
        </is>
      </c>
      <c r="B7" s="4" t="inlineStr">
        <is>
          <t>INV-1003</t>
        </is>
      </c>
      <c r="C7" s="4" t="inlineStr">
        <is>
          <t>Dilani Fernando</t>
        </is>
      </c>
      <c r="D7" s="4" t="inlineStr">
        <is>
          <t>Phone Case (Clear)</t>
        </is>
      </c>
      <c r="E7" s="5" t="n">
        <v>3</v>
      </c>
      <c r="F7" s="6" t="n">
        <v>1200</v>
      </c>
      <c r="G7" s="6">
        <f>E7*F7</f>
        <v/>
      </c>
      <c r="H7" s="6" t="n">
        <v>0</v>
      </c>
      <c r="I7" s="6">
        <f>G7-H7</f>
        <v/>
      </c>
      <c r="J7" s="4" t="inlineStr">
        <is>
          <t>Cash Drawer</t>
        </is>
      </c>
      <c r="K7" s="6" t="n">
        <v>3600</v>
      </c>
      <c r="L7" s="6">
        <f>I7-K7</f>
        <v/>
      </c>
      <c r="M7" s="4" t="inlineStr">
        <is>
          <t>Sajith</t>
        </is>
      </c>
      <c r="N7" s="4" t="inlineStr"/>
    </row>
    <row r="8">
      <c r="A8" s="7" t="inlineStr">
        <is>
          <t>2026-07-02</t>
        </is>
      </c>
      <c r="B8" s="7" t="inlineStr">
        <is>
          <t>INV-1004</t>
        </is>
      </c>
      <c r="C8" s="7" t="inlineStr">
        <is>
          <t>Tech World Traders</t>
        </is>
      </c>
      <c r="D8" s="7" t="inlineStr">
        <is>
          <t>Redmi Note 12 (Wholesale x10)</t>
        </is>
      </c>
      <c r="E8" s="8" t="n">
        <v>10</v>
      </c>
      <c r="F8" s="9" t="n">
        <v>42000</v>
      </c>
      <c r="G8" s="9">
        <f>E8*F8</f>
        <v/>
      </c>
      <c r="H8" s="9" t="n">
        <v>20000</v>
      </c>
      <c r="I8" s="9">
        <f>G8-H8</f>
        <v/>
      </c>
      <c r="J8" s="7" t="inlineStr"/>
      <c r="K8" s="9" t="n">
        <v>150000</v>
      </c>
      <c r="L8" s="9">
        <f>I8-K8</f>
        <v/>
      </c>
      <c r="M8" s="7" t="inlineStr">
        <is>
          <t>Sajith</t>
        </is>
      </c>
      <c r="N8" s="7" t="inlineStr">
        <is>
          <t>Credit sale, 30 days</t>
        </is>
      </c>
    </row>
    <row r="9">
      <c r="A9" s="4" t="inlineStr">
        <is>
          <t>2026-07-03</t>
        </is>
      </c>
      <c r="B9" s="4" t="inlineStr">
        <is>
          <t>INV-1005</t>
        </is>
      </c>
      <c r="C9" s="4" t="inlineStr">
        <is>
          <t>Chamara Jayasuriya</t>
        </is>
      </c>
      <c r="D9" s="4" t="inlineStr">
        <is>
          <t>Screen Protector</t>
        </is>
      </c>
      <c r="E9" s="5" t="n">
        <v>5</v>
      </c>
      <c r="F9" s="6" t="n">
        <v>500</v>
      </c>
      <c r="G9" s="6">
        <f>E9*F9</f>
        <v/>
      </c>
      <c r="H9" s="6" t="n">
        <v>0</v>
      </c>
      <c r="I9" s="6">
        <f>G9-H9</f>
        <v/>
      </c>
      <c r="J9" s="4" t="inlineStr">
        <is>
          <t>Cash Drawer</t>
        </is>
      </c>
      <c r="K9" s="6" t="n">
        <v>2500</v>
      </c>
      <c r="L9" s="6">
        <f>I9-K9</f>
        <v/>
      </c>
      <c r="M9" s="4" t="inlineStr">
        <is>
          <t>Nimali</t>
        </is>
      </c>
      <c r="N9" s="4" t="inlineStr"/>
    </row>
    <row r="10">
      <c r="A10" s="7" t="inlineStr">
        <is>
          <t>2026-07-03</t>
        </is>
      </c>
      <c r="B10" s="7" t="inlineStr">
        <is>
          <t>INV-1006</t>
        </is>
      </c>
      <c r="C10" s="7" t="inlineStr">
        <is>
          <t>Nadeesha Kumari</t>
        </is>
      </c>
      <c r="D10" s="7" t="inlineStr">
        <is>
          <t>iPhone 14 Pro</t>
        </is>
      </c>
      <c r="E10" s="8" t="n">
        <v>1</v>
      </c>
      <c r="F10" s="9" t="n">
        <v>340000</v>
      </c>
      <c r="G10" s="9">
        <f>E10*F10</f>
        <v/>
      </c>
      <c r="H10" s="9" t="n">
        <v>10000</v>
      </c>
      <c r="I10" s="9">
        <f>G10-H10</f>
        <v/>
      </c>
      <c r="J10" s="7" t="inlineStr">
        <is>
          <t>HNB Current</t>
        </is>
      </c>
      <c r="K10" s="9" t="n">
        <v>100000</v>
      </c>
      <c r="L10" s="9">
        <f>I10-K10</f>
        <v/>
      </c>
      <c r="M10" s="7" t="inlineStr">
        <is>
          <t>Sajith</t>
        </is>
      </c>
      <c r="N10" s="7" t="inlineStr">
        <is>
          <t>Advance paid, balance on delivery</t>
        </is>
      </c>
    </row>
    <row r="11">
      <c r="A11" s="4" t="inlineStr">
        <is>
          <t>2026-07-04</t>
        </is>
      </c>
      <c r="B11" s="4" t="inlineStr">
        <is>
          <t>INV-1007</t>
        </is>
      </c>
      <c r="C11" s="4" t="inlineStr">
        <is>
          <t>Priyantha Bandara</t>
        </is>
      </c>
      <c r="D11" s="4" t="inlineStr">
        <is>
          <t>Bluetooth Earbuds</t>
        </is>
      </c>
      <c r="E11" s="5" t="n">
        <v>4</v>
      </c>
      <c r="F11" s="6" t="n">
        <v>4500</v>
      </c>
      <c r="G11" s="6">
        <f>E11*F11</f>
        <v/>
      </c>
      <c r="H11" s="6" t="n">
        <v>1000</v>
      </c>
      <c r="I11" s="6">
        <f>G11-H11</f>
        <v/>
      </c>
      <c r="J11" s="4" t="inlineStr">
        <is>
          <t>Cash Drawer</t>
        </is>
      </c>
      <c r="K11" s="6" t="n">
        <v>17000</v>
      </c>
      <c r="L11" s="6">
        <f>I11-K11</f>
        <v/>
      </c>
      <c r="M11" s="4" t="inlineStr">
        <is>
          <t>Nimali</t>
        </is>
      </c>
      <c r="N11" s="4" t="inlineStr"/>
    </row>
    <row r="12">
      <c r="A12" s="7" t="inlineStr">
        <is>
          <t>2026-07-04</t>
        </is>
      </c>
      <c r="B12" s="7" t="inlineStr">
        <is>
          <t>INV-1008</t>
        </is>
      </c>
      <c r="C12" s="7" t="inlineStr">
        <is>
          <t>Mobile Hub Kandy</t>
        </is>
      </c>
      <c r="D12" s="7" t="inlineStr">
        <is>
          <t>OPPO A78 (Wholesale x5)</t>
        </is>
      </c>
      <c r="E12" s="8" t="n">
        <v>5</v>
      </c>
      <c r="F12" s="9" t="n">
        <v>58000</v>
      </c>
      <c r="G12" s="9">
        <f>E12*F12</f>
        <v/>
      </c>
      <c r="H12" s="9" t="n">
        <v>15000</v>
      </c>
      <c r="I12" s="9">
        <f>G12-H12</f>
        <v/>
      </c>
      <c r="J12" s="7" t="inlineStr"/>
      <c r="K12" s="9" t="n">
        <v>0</v>
      </c>
      <c r="L12" s="9">
        <f>I12-K12</f>
        <v/>
      </c>
      <c r="M12" s="7" t="inlineStr">
        <is>
          <t>Sajith</t>
        </is>
      </c>
      <c r="N12" s="7" t="inlineStr">
        <is>
          <t>Credit sale, awaiting payment</t>
        </is>
      </c>
    </row>
    <row r="13">
      <c r="A13" s="4" t="inlineStr">
        <is>
          <t>2026-07-05</t>
        </is>
      </c>
      <c r="B13" s="4" t="inlineStr">
        <is>
          <t>INV-1009</t>
        </is>
      </c>
      <c r="C13" s="4" t="inlineStr">
        <is>
          <t>Sanduni Rathnayake</t>
        </is>
      </c>
      <c r="D13" s="4" t="inlineStr">
        <is>
          <t>Power Bank 20000mAh</t>
        </is>
      </c>
      <c r="E13" s="5" t="n">
        <v>2</v>
      </c>
      <c r="F13" s="6" t="n">
        <v>6500</v>
      </c>
      <c r="G13" s="6">
        <f>E13*F13</f>
        <v/>
      </c>
      <c r="H13" s="6" t="n">
        <v>500</v>
      </c>
      <c r="I13" s="6">
        <f>G13-H13</f>
        <v/>
      </c>
      <c r="J13" s="4" t="inlineStr">
        <is>
          <t>Cash Drawer</t>
        </is>
      </c>
      <c r="K13" s="6" t="n">
        <v>12500</v>
      </c>
      <c r="L13" s="6">
        <f>I13-K13</f>
        <v/>
      </c>
      <c r="M13" s="4" t="inlineStr">
        <is>
          <t>Nimali</t>
        </is>
      </c>
      <c r="N13" s="4" t="inlineStr"/>
    </row>
    <row r="14">
      <c r="A14" s="7" t="inlineStr">
        <is>
          <t>2026-07-05</t>
        </is>
      </c>
      <c r="B14" s="7" t="inlineStr">
        <is>
          <t>INV-1010</t>
        </is>
      </c>
      <c r="C14" s="7" t="inlineStr">
        <is>
          <t>Isuru Madushanka</t>
        </is>
      </c>
      <c r="D14" s="7" t="inlineStr">
        <is>
          <t>Samsung Galaxy S23</t>
        </is>
      </c>
      <c r="E14" s="8" t="n">
        <v>1</v>
      </c>
      <c r="F14" s="9" t="n">
        <v>265000</v>
      </c>
      <c r="G14" s="9">
        <f>E14*F14</f>
        <v/>
      </c>
      <c r="H14" s="9" t="n">
        <v>5000</v>
      </c>
      <c r="I14" s="9">
        <f>G14-H14</f>
        <v/>
      </c>
      <c r="J14" s="7" t="inlineStr">
        <is>
          <t>HNB Current</t>
        </is>
      </c>
      <c r="K14" s="9" t="n">
        <v>260000</v>
      </c>
      <c r="L14" s="9">
        <f>I14-K14</f>
        <v/>
      </c>
      <c r="M14" s="7" t="inlineStr">
        <is>
          <t>Sajith</t>
        </is>
      </c>
      <c r="N14" s="7" t="inlineStr"/>
    </row>
    <row r="16">
      <c r="A16" s="10" t="inlineStr">
        <is>
          <t>SUMMARY</t>
        </is>
      </c>
    </row>
    <row r="17">
      <c r="A17" s="11" t="inlineStr">
        <is>
          <t>Total Sales (Gross)</t>
        </is>
      </c>
      <c r="B17" s="12">
        <f>SUM(G5:G14)</f>
        <v/>
      </c>
    </row>
    <row r="18">
      <c r="A18" s="11" t="inlineStr">
        <is>
          <t>Net Sales</t>
        </is>
      </c>
      <c r="B18" s="12">
        <f>SUM(I5:I14)</f>
        <v/>
      </c>
    </row>
    <row r="19">
      <c r="A19" s="11" t="inlineStr">
        <is>
          <t>Total Cash Sales</t>
        </is>
      </c>
      <c r="B19" s="12">
        <f>SUMIF(L5:L14,0,I5:I14)</f>
        <v/>
      </c>
    </row>
    <row r="20">
      <c r="A20" s="11" t="inlineStr">
        <is>
          <t>Total Credit Sales</t>
        </is>
      </c>
      <c r="B20" s="12">
        <f>SUMIF(L5:L14,"&gt;0",I5:I14)</f>
        <v/>
      </c>
    </row>
    <row r="21">
      <c r="A21" s="11" t="inlineStr">
        <is>
          <t>Total Amount Received</t>
        </is>
      </c>
      <c r="B21" s="12">
        <f>SUM(K5:K14)</f>
        <v/>
      </c>
    </row>
    <row r="22">
      <c r="A22" s="11" t="inlineStr">
        <is>
          <t>Total Outstanding Balance</t>
        </is>
      </c>
      <c r="B22" s="12">
        <f>SUM(L5:L14)</f>
        <v/>
      </c>
    </row>
  </sheetData>
  <mergeCells count="3">
    <mergeCell ref="A16:B1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2026-07-16T07:28:29Z</dcterms:created>
  <dcterms:modified xsi:type="dcterms:W3CDTF">2026-07-16T07:28:29Z</dcterms:modified>
</cp:coreProperties>
</file>